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\PRV_3cell\rebasecall\"/>
    </mc:Choice>
  </mc:AlternateContent>
  <xr:revisionPtr revIDLastSave="0" documentId="13_ncr:1_{67C5EB4E-8B9F-467A-BDD2-3E81F54533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K-15.fastq" sheetId="1" r:id="rId1"/>
  </sheets>
  <definedNames>
    <definedName name="_xlnm._FilterDatabase" localSheetId="0" hidden="1">'PK-15.fastq'!$A$1:$N$1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48" i="1"/>
  <c r="J48" i="1" s="1"/>
  <c r="H49" i="1"/>
  <c r="J49" i="1" s="1"/>
  <c r="H2" i="1"/>
  <c r="J2" i="1" s="1"/>
  <c r="H3" i="1"/>
  <c r="J3" i="1" s="1"/>
  <c r="H4" i="1"/>
  <c r="J4" i="1" s="1"/>
  <c r="H11" i="1"/>
  <c r="J11" i="1" s="1"/>
  <c r="H12" i="1"/>
  <c r="J12" i="1" s="1"/>
  <c r="H13" i="1"/>
  <c r="J13" i="1" s="1"/>
  <c r="H20" i="1"/>
  <c r="J20" i="1" s="1"/>
  <c r="H21" i="1"/>
  <c r="J21" i="1" s="1"/>
  <c r="H22" i="1"/>
  <c r="J22" i="1" s="1"/>
  <c r="H29" i="1"/>
  <c r="J29" i="1" s="1"/>
  <c r="H30" i="1"/>
  <c r="J30" i="1" s="1"/>
  <c r="H31" i="1"/>
  <c r="J31" i="1" s="1"/>
  <c r="H38" i="1"/>
  <c r="J38" i="1" s="1"/>
  <c r="H39" i="1"/>
  <c r="J39" i="1" s="1"/>
  <c r="H40" i="1"/>
  <c r="J40" i="1" s="1"/>
  <c r="H50" i="1"/>
  <c r="J50" i="1" s="1"/>
  <c r="H51" i="1"/>
  <c r="J51" i="1" s="1"/>
  <c r="H52" i="1"/>
  <c r="J52" i="1" s="1"/>
  <c r="H5" i="1"/>
  <c r="J5" i="1" s="1"/>
  <c r="H6" i="1"/>
  <c r="J6" i="1" s="1"/>
  <c r="H7" i="1"/>
  <c r="J7" i="1" s="1"/>
  <c r="H14" i="1"/>
  <c r="J14" i="1" s="1"/>
  <c r="H15" i="1"/>
  <c r="J15" i="1" s="1"/>
  <c r="H16" i="1"/>
  <c r="J16" i="1" s="1"/>
  <c r="H23" i="1"/>
  <c r="J23" i="1" s="1"/>
  <c r="H24" i="1"/>
  <c r="J24" i="1" s="1"/>
  <c r="H25" i="1"/>
  <c r="J25" i="1" s="1"/>
  <c r="H32" i="1"/>
  <c r="J32" i="1" s="1"/>
  <c r="H33" i="1"/>
  <c r="J33" i="1" s="1"/>
  <c r="H34" i="1"/>
  <c r="J34" i="1" s="1"/>
  <c r="H41" i="1"/>
  <c r="J41" i="1" s="1"/>
  <c r="H42" i="1"/>
  <c r="J42" i="1" s="1"/>
  <c r="H43" i="1"/>
  <c r="J43" i="1" s="1"/>
  <c r="H53" i="1"/>
  <c r="J53" i="1" s="1"/>
  <c r="H54" i="1"/>
  <c r="J54" i="1" s="1"/>
  <c r="H55" i="1"/>
  <c r="J55" i="1" s="1"/>
  <c r="H8" i="1"/>
  <c r="J8" i="1" s="1"/>
  <c r="H9" i="1"/>
  <c r="J9" i="1" s="1"/>
  <c r="H10" i="1"/>
  <c r="J10" i="1" s="1"/>
  <c r="H17" i="1"/>
  <c r="J17" i="1" s="1"/>
  <c r="H18" i="1"/>
  <c r="J18" i="1" s="1"/>
  <c r="H19" i="1"/>
  <c r="J19" i="1" s="1"/>
  <c r="H26" i="1"/>
  <c r="J26" i="1" s="1"/>
  <c r="H27" i="1"/>
  <c r="J27" i="1" s="1"/>
  <c r="H28" i="1"/>
  <c r="J28" i="1" s="1"/>
  <c r="H35" i="1"/>
  <c r="J35" i="1" s="1"/>
  <c r="H36" i="1"/>
  <c r="J36" i="1" s="1"/>
  <c r="H37" i="1"/>
  <c r="J37" i="1" s="1"/>
  <c r="H44" i="1"/>
  <c r="J44" i="1" s="1"/>
  <c r="H45" i="1"/>
  <c r="J45" i="1" s="1"/>
  <c r="H46" i="1"/>
  <c r="J46" i="1" s="1"/>
  <c r="H47" i="1"/>
  <c r="J47" i="1" s="1"/>
</calcChain>
</file>

<file path=xl/sharedStrings.xml><?xml version="1.0" encoding="utf-8"?>
<sst xmlns="http://schemas.openxmlformats.org/spreadsheetml/2006/main" count="230" uniqueCount="131">
  <si>
    <t>PK-15_12h_1.fastq</t>
  </si>
  <si>
    <t>PK-15_12h_2.fastq</t>
  </si>
  <si>
    <t>PK-15_12h_3.fastq</t>
  </si>
  <si>
    <t>PK-15_1h_1.fastq</t>
  </si>
  <si>
    <t>PK-15_1h_2.fastq</t>
  </si>
  <si>
    <t>PK-15_1h_3.fastq</t>
  </si>
  <si>
    <t>PK-15_2h_1.fastq</t>
  </si>
  <si>
    <t>PK-15_2h_2.fastq</t>
  </si>
  <si>
    <t>PK-15_2h_3.fastq</t>
  </si>
  <si>
    <t>PK-15_4h_1.fastq</t>
  </si>
  <si>
    <t>PK-15_4h_2.fastq</t>
  </si>
  <si>
    <t>PK-15_4h_3.fastq</t>
  </si>
  <si>
    <t>PK-15_6h_1.fastq</t>
  </si>
  <si>
    <t>PK-15_6h_2.fastq</t>
  </si>
  <si>
    <t>PK-15_6h_3.fastq</t>
  </si>
  <si>
    <t>PK-15_8h_1.fastq</t>
  </si>
  <si>
    <t>PK-15_8h_2.fastq</t>
  </si>
  <si>
    <t>PK-15_8h_3.fastq</t>
  </si>
  <si>
    <t>C6_12h_1.fastq</t>
  </si>
  <si>
    <t>C6_12h_2.fastq</t>
  </si>
  <si>
    <t>C6_12h_3.fastq</t>
  </si>
  <si>
    <t>C6_1h_1.fastq</t>
  </si>
  <si>
    <t>C6_1h_2.fastq</t>
  </si>
  <si>
    <t>C6_1h_3.fastq</t>
  </si>
  <si>
    <t>C6_2h_1.fastq</t>
  </si>
  <si>
    <t>C6_2h_2.fastq</t>
  </si>
  <si>
    <t>C6_2h_3.fastq</t>
  </si>
  <si>
    <t>C6_4h_1.fastq</t>
  </si>
  <si>
    <t>C6_4h_2.fastq</t>
  </si>
  <si>
    <t>C6_4h_3.fastq</t>
  </si>
  <si>
    <t>C6_6h_1.fastq</t>
  </si>
  <si>
    <t>C6_6h_2.fastq</t>
  </si>
  <si>
    <t>C6_6h_3.fastq</t>
  </si>
  <si>
    <t>C6_8h_1.fastq</t>
  </si>
  <si>
    <t>C6_8h_2.fastq</t>
  </si>
  <si>
    <t>C6_8h_3.fastq</t>
  </si>
  <si>
    <t>PK-15</t>
  </si>
  <si>
    <t>C6</t>
  </si>
  <si>
    <t>12h</t>
  </si>
  <si>
    <t>1h</t>
  </si>
  <si>
    <t>2h</t>
  </si>
  <si>
    <t>4h</t>
  </si>
  <si>
    <t>6h</t>
  </si>
  <si>
    <t>8h</t>
  </si>
  <si>
    <t>PC-12_12h_1.fastq</t>
  </si>
  <si>
    <t>PC-12_12h_2.fastq</t>
  </si>
  <si>
    <t>PC-12_12h_3.fastq</t>
  </si>
  <si>
    <t>PC-12_1h_1.fastq</t>
  </si>
  <si>
    <t>PC-12_1h_2.fastq</t>
  </si>
  <si>
    <t>PC-12_1h_3.fastq</t>
  </si>
  <si>
    <t>PC-12_2h_1.fastq</t>
  </si>
  <si>
    <t>PC-12_2h_2.fastq</t>
  </si>
  <si>
    <t>PC-12_2h_3.fastq</t>
  </si>
  <si>
    <t>PC-12_4h_1.fastq</t>
  </si>
  <si>
    <t>PC-12_4h_2.fastq</t>
  </si>
  <si>
    <t>PC-12_4h_3.fastq</t>
  </si>
  <si>
    <t>PC-12_6h_1.fastq</t>
  </si>
  <si>
    <t>PC-12_6h_2.fastq</t>
  </si>
  <si>
    <t>PC-12_6h_3.fastq</t>
  </si>
  <si>
    <t>PC-12_8h_1.fastq</t>
  </si>
  <si>
    <t>PC-12_8h_2.fastq</t>
  </si>
  <si>
    <t>PC-12_8h_3.fastq</t>
  </si>
  <si>
    <t>PC-12</t>
  </si>
  <si>
    <t>filename</t>
  </si>
  <si>
    <t>rep</t>
  </si>
  <si>
    <t>hpi</t>
  </si>
  <si>
    <t>sample</t>
  </si>
  <si>
    <t>cell_line</t>
  </si>
  <si>
    <t>Time</t>
  </si>
  <si>
    <t>C6_12h_1</t>
  </si>
  <si>
    <t>C6_12h_2</t>
  </si>
  <si>
    <t>C6_12h_3</t>
  </si>
  <si>
    <t>C6_1h_1</t>
  </si>
  <si>
    <t>C6_1h_2</t>
  </si>
  <si>
    <t>C6_1h_3</t>
  </si>
  <si>
    <t>C6_2h_1</t>
  </si>
  <si>
    <t>C6_2h_2</t>
  </si>
  <si>
    <t>C6_2h_3</t>
  </si>
  <si>
    <t>C6_4h_1</t>
  </si>
  <si>
    <t>C6_4h_2</t>
  </si>
  <si>
    <t>C6_4h_3</t>
  </si>
  <si>
    <t>C6_6h_1</t>
  </si>
  <si>
    <t>C6_6h_2</t>
  </si>
  <si>
    <t>C6_6h_3</t>
  </si>
  <si>
    <t>C6_8h_1</t>
  </si>
  <si>
    <t>C6_8h_2</t>
  </si>
  <si>
    <t>C6_8h_3</t>
  </si>
  <si>
    <t>PC-12_12h_1</t>
  </si>
  <si>
    <t>PC-12_12h_2</t>
  </si>
  <si>
    <t>PC-12_12h_3</t>
  </si>
  <si>
    <t>PC-12_1h_1</t>
  </si>
  <si>
    <t>PC-12_1h_2</t>
  </si>
  <si>
    <t>PC-12_1h_3</t>
  </si>
  <si>
    <t>PC-12_2h_1</t>
  </si>
  <si>
    <t>PC-12_2h_2</t>
  </si>
  <si>
    <t>PC-12_2h_3</t>
  </si>
  <si>
    <t>PC-12_4h_1</t>
  </si>
  <si>
    <t>PC-12_4h_2</t>
  </si>
  <si>
    <t>PC-12_4h_3</t>
  </si>
  <si>
    <t>PC-12_6h_1</t>
  </si>
  <si>
    <t>PC-12_6h_2</t>
  </si>
  <si>
    <t>PC-12_6h_3</t>
  </si>
  <si>
    <t>PC-12_8h_1</t>
  </si>
  <si>
    <t>PC-12_8h_2</t>
  </si>
  <si>
    <t>PC-12_8h_3</t>
  </si>
  <si>
    <t>PK-15_12h_1</t>
  </si>
  <si>
    <t>PK-15_12h_2</t>
  </si>
  <si>
    <t>PK-15_12h_3</t>
  </si>
  <si>
    <t>PK-15_1h_1</t>
  </si>
  <si>
    <t>PK-15_1h_2</t>
  </si>
  <si>
    <t>PK-15_1h_3</t>
  </si>
  <si>
    <t>PK-15_2h_1</t>
  </si>
  <si>
    <t>PK-15_2h_2</t>
  </si>
  <si>
    <t>PK-15_2h_3</t>
  </si>
  <si>
    <t>PK-15_4h_1</t>
  </si>
  <si>
    <t>PK-15_4h_2</t>
  </si>
  <si>
    <t>PK-15_4h_3</t>
  </si>
  <si>
    <t>PK-15_6h_1</t>
  </si>
  <si>
    <t>PK-15_6h_2</t>
  </si>
  <si>
    <t>PK-15_6h_3</t>
  </si>
  <si>
    <t>PK-15_8h_1</t>
  </si>
  <si>
    <t>PK-15_8h_2</t>
  </si>
  <si>
    <t>PK-15_8h_3</t>
  </si>
  <si>
    <t>mapped</t>
  </si>
  <si>
    <t>unmapped</t>
  </si>
  <si>
    <t>read_count.fastq</t>
  </si>
  <si>
    <t>diff</t>
  </si>
  <si>
    <t>virus/host</t>
  </si>
  <si>
    <t>virus/total</t>
  </si>
  <si>
    <t>aln_count.bam</t>
  </si>
  <si>
    <t>viral_read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</si>
</sst>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42" applyNumberFormat="1" applyFont="1"/>
  </cellXfs>
  <cellStyles count="43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  <cellStyle name="Százalék" xfId="4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A13" workbookViewId="0">
      <selection activeCell="M9" sqref="M9"/>
    </sheetView>
  </sheetViews>
  <sheetFormatPr defaultRowHeight="15" x14ac:dyDescent="0.25"/>
  <cols>
    <col min="1" max="1" width="18.7109375" customWidth="1"/>
    <col min="2" max="2" width="13.28515625" customWidth="1"/>
    <col min="3" max="3" width="10.28515625" customWidth="1"/>
    <col min="4" max="4" width="9.5703125" customWidth="1"/>
    <col min="5" max="5" width="9.85546875" customWidth="1"/>
    <col min="6" max="6" width="10" customWidth="1"/>
    <col min="7" max="7" width="21" customWidth="1"/>
    <col min="8" max="8" width="19.85546875" customWidth="1"/>
    <col min="9" max="9" width="14.42578125" customWidth="1"/>
    <col min="13" max="13" width="15.140625" customWidth="1"/>
    <col min="14" max="14" width="16.42578125" customWidth="1"/>
  </cols>
  <sheetData>
    <row r="1" spans="1:14" x14ac:dyDescent="0.25">
      <c r="A1" t="s">
        <v>63</v>
      </c>
      <c r="B1" t="s">
        <v>66</v>
      </c>
      <c r="C1" t="s">
        <v>64</v>
      </c>
      <c r="D1" t="s">
        <v>65</v>
      </c>
      <c r="E1" t="s">
        <v>68</v>
      </c>
      <c r="F1" t="s">
        <v>67</v>
      </c>
      <c r="G1" t="s">
        <v>125</v>
      </c>
      <c r="H1" t="s">
        <v>129</v>
      </c>
      <c r="I1" t="s">
        <v>130</v>
      </c>
      <c r="J1" t="s">
        <v>126</v>
      </c>
      <c r="K1" t="s">
        <v>123</v>
      </c>
      <c r="L1" t="s">
        <v>124</v>
      </c>
      <c r="M1" t="s">
        <v>128</v>
      </c>
      <c r="N1" t="s">
        <v>127</v>
      </c>
    </row>
    <row r="2" spans="1:14" x14ac:dyDescent="0.25">
      <c r="A2" t="s">
        <v>21</v>
      </c>
      <c r="B2" t="s">
        <v>72</v>
      </c>
      <c r="C2">
        <v>1</v>
      </c>
      <c r="D2" t="s">
        <v>39</v>
      </c>
      <c r="E2">
        <v>1</v>
      </c>
      <c r="F2" t="s">
        <v>37</v>
      </c>
      <c r="G2">
        <v>987594</v>
      </c>
      <c r="H2">
        <f>K2+L2</f>
        <v>987926</v>
      </c>
      <c r="I2">
        <f>G2-L2</f>
        <v>833</v>
      </c>
      <c r="J2" s="1">
        <f>1-G2/H2</f>
        <v>3.3605755896692902E-4</v>
      </c>
      <c r="K2">
        <v>1165</v>
      </c>
      <c r="L2">
        <v>986761</v>
      </c>
      <c r="M2" s="1">
        <f>I2/G2</f>
        <v>8.4346401456468956E-4</v>
      </c>
      <c r="N2" s="1">
        <f>I2/L2</f>
        <v>8.4417604668202335E-4</v>
      </c>
    </row>
    <row r="3" spans="1:14" x14ac:dyDescent="0.25">
      <c r="A3" t="s">
        <v>22</v>
      </c>
      <c r="B3" t="s">
        <v>73</v>
      </c>
      <c r="C3">
        <v>2</v>
      </c>
      <c r="D3" t="s">
        <v>39</v>
      </c>
      <c r="E3">
        <v>1</v>
      </c>
      <c r="F3" t="s">
        <v>37</v>
      </c>
      <c r="G3">
        <v>973179</v>
      </c>
      <c r="H3">
        <f>K3+L3</f>
        <v>973547</v>
      </c>
      <c r="I3">
        <f t="shared" ref="I3:I55" si="0">G3-L3</f>
        <v>797</v>
      </c>
      <c r="J3" s="1">
        <f>1-G3/H3</f>
        <v>3.7799921318637519E-4</v>
      </c>
      <c r="K3">
        <v>1165</v>
      </c>
      <c r="L3">
        <v>972382</v>
      </c>
      <c r="M3" s="1">
        <f t="shared" ref="M3:M55" si="1">I3/G3</f>
        <v>8.1896547294999173E-4</v>
      </c>
      <c r="N3" s="1">
        <f t="shared" ref="N3:N55" si="2">I3/L3</f>
        <v>8.196367271298728E-4</v>
      </c>
    </row>
    <row r="4" spans="1:14" x14ac:dyDescent="0.25">
      <c r="A4" t="s">
        <v>23</v>
      </c>
      <c r="B4" t="s">
        <v>74</v>
      </c>
      <c r="C4">
        <v>3</v>
      </c>
      <c r="D4" t="s">
        <v>39</v>
      </c>
      <c r="E4">
        <v>1</v>
      </c>
      <c r="F4" t="s">
        <v>37</v>
      </c>
      <c r="G4">
        <v>867011</v>
      </c>
      <c r="H4">
        <f>K4+L4</f>
        <v>867216</v>
      </c>
      <c r="I4">
        <f t="shared" si="0"/>
        <v>435</v>
      </c>
      <c r="J4" s="1">
        <f>1-G4/H4</f>
        <v>2.3638862751607093E-4</v>
      </c>
      <c r="K4">
        <v>640</v>
      </c>
      <c r="L4">
        <v>866576</v>
      </c>
      <c r="M4" s="1">
        <f t="shared" si="1"/>
        <v>5.0172373822246778E-4</v>
      </c>
      <c r="N4" s="1">
        <f t="shared" si="2"/>
        <v>5.0197559129262759E-4</v>
      </c>
    </row>
    <row r="5" spans="1:14" x14ac:dyDescent="0.25">
      <c r="A5" t="s">
        <v>47</v>
      </c>
      <c r="B5" t="s">
        <v>90</v>
      </c>
      <c r="C5">
        <v>1</v>
      </c>
      <c r="D5" t="s">
        <v>39</v>
      </c>
      <c r="E5">
        <v>1</v>
      </c>
      <c r="F5" t="s">
        <v>62</v>
      </c>
      <c r="G5">
        <v>692219</v>
      </c>
      <c r="H5">
        <f>K5+L5</f>
        <v>692576</v>
      </c>
      <c r="I5">
        <f t="shared" si="0"/>
        <v>672</v>
      </c>
      <c r="J5" s="1">
        <f>1-G5/H5</f>
        <v>5.1546689460790773E-4</v>
      </c>
      <c r="K5">
        <v>1029</v>
      </c>
      <c r="L5">
        <v>691547</v>
      </c>
      <c r="M5" s="1">
        <f t="shared" si="1"/>
        <v>9.7079103578491782E-4</v>
      </c>
      <c r="N5" s="1">
        <f t="shared" si="2"/>
        <v>9.7173438681680345E-4</v>
      </c>
    </row>
    <row r="6" spans="1:14" x14ac:dyDescent="0.25">
      <c r="A6" t="s">
        <v>48</v>
      </c>
      <c r="B6" t="s">
        <v>91</v>
      </c>
      <c r="C6">
        <v>2</v>
      </c>
      <c r="D6" t="s">
        <v>39</v>
      </c>
      <c r="E6">
        <v>1</v>
      </c>
      <c r="F6" t="s">
        <v>62</v>
      </c>
      <c r="G6">
        <v>675970</v>
      </c>
      <c r="H6">
        <f>K6+L6</f>
        <v>676233</v>
      </c>
      <c r="I6">
        <f t="shared" si="0"/>
        <v>465</v>
      </c>
      <c r="J6" s="1">
        <f>1-G6/H6</f>
        <v>3.8891920388384182E-4</v>
      </c>
      <c r="K6">
        <v>728</v>
      </c>
      <c r="L6">
        <v>675505</v>
      </c>
      <c r="M6" s="1">
        <f t="shared" si="1"/>
        <v>6.879003506072755E-4</v>
      </c>
      <c r="N6" s="1">
        <f t="shared" si="2"/>
        <v>6.8837388324290713E-4</v>
      </c>
    </row>
    <row r="7" spans="1:14" x14ac:dyDescent="0.25">
      <c r="A7" t="s">
        <v>49</v>
      </c>
      <c r="B7" t="s">
        <v>92</v>
      </c>
      <c r="C7">
        <v>3</v>
      </c>
      <c r="D7" t="s">
        <v>39</v>
      </c>
      <c r="E7">
        <v>1</v>
      </c>
      <c r="F7" t="s">
        <v>62</v>
      </c>
      <c r="G7">
        <v>652867</v>
      </c>
      <c r="H7">
        <f>K7+L7</f>
        <v>653237</v>
      </c>
      <c r="I7">
        <f t="shared" si="0"/>
        <v>650</v>
      </c>
      <c r="J7" s="1">
        <f>1-G7/H7</f>
        <v>5.6641004719570898E-4</v>
      </c>
      <c r="K7">
        <v>1020</v>
      </c>
      <c r="L7">
        <v>652217</v>
      </c>
      <c r="M7" s="1">
        <f t="shared" si="1"/>
        <v>9.9560860022025917E-4</v>
      </c>
      <c r="N7" s="1">
        <f t="shared" si="2"/>
        <v>9.9660082457218987E-4</v>
      </c>
    </row>
    <row r="8" spans="1:14" x14ac:dyDescent="0.25">
      <c r="A8" t="s">
        <v>3</v>
      </c>
      <c r="B8" t="s">
        <v>108</v>
      </c>
      <c r="C8">
        <v>1</v>
      </c>
      <c r="D8" t="s">
        <v>39</v>
      </c>
      <c r="E8">
        <v>1</v>
      </c>
      <c r="F8" t="s">
        <v>36</v>
      </c>
      <c r="G8">
        <v>1758466</v>
      </c>
      <c r="H8">
        <f>K8+L8</f>
        <v>1759324</v>
      </c>
      <c r="I8">
        <f t="shared" si="0"/>
        <v>735</v>
      </c>
      <c r="J8" s="1">
        <f>1-G8/H8</f>
        <v>4.8768731626469553E-4</v>
      </c>
      <c r="K8">
        <v>1593</v>
      </c>
      <c r="L8">
        <v>1757731</v>
      </c>
      <c r="M8" s="1">
        <f t="shared" si="1"/>
        <v>4.1797794213820457E-4</v>
      </c>
      <c r="N8" s="1">
        <f t="shared" si="2"/>
        <v>4.1815272075192394E-4</v>
      </c>
    </row>
    <row r="9" spans="1:14" x14ac:dyDescent="0.25">
      <c r="A9" t="s">
        <v>4</v>
      </c>
      <c r="B9" t="s">
        <v>109</v>
      </c>
      <c r="C9">
        <v>2</v>
      </c>
      <c r="D9" t="s">
        <v>39</v>
      </c>
      <c r="E9">
        <v>1</v>
      </c>
      <c r="F9" t="s">
        <v>36</v>
      </c>
      <c r="G9">
        <v>1289130</v>
      </c>
      <c r="H9">
        <f>K9+L9</f>
        <v>1289726</v>
      </c>
      <c r="I9">
        <f t="shared" si="0"/>
        <v>531</v>
      </c>
      <c r="J9" s="1">
        <f>1-G9/H9</f>
        <v>4.6211365824988526E-4</v>
      </c>
      <c r="K9">
        <v>1127</v>
      </c>
      <c r="L9">
        <v>1288599</v>
      </c>
      <c r="M9" s="1">
        <f t="shared" si="1"/>
        <v>4.119057038467804E-4</v>
      </c>
      <c r="N9" s="1">
        <f t="shared" si="2"/>
        <v>4.1207544007096077E-4</v>
      </c>
    </row>
    <row r="10" spans="1:14" x14ac:dyDescent="0.25">
      <c r="A10" t="s">
        <v>5</v>
      </c>
      <c r="B10" t="s">
        <v>110</v>
      </c>
      <c r="C10">
        <v>3</v>
      </c>
      <c r="D10" t="s">
        <v>39</v>
      </c>
      <c r="E10">
        <v>1</v>
      </c>
      <c r="F10" t="s">
        <v>36</v>
      </c>
      <c r="G10">
        <v>1086826</v>
      </c>
      <c r="H10">
        <f>K10+L10</f>
        <v>1087131</v>
      </c>
      <c r="I10">
        <f t="shared" si="0"/>
        <v>312</v>
      </c>
      <c r="J10" s="1">
        <f>1-G10/H10</f>
        <v>2.8055496531698143E-4</v>
      </c>
      <c r="K10">
        <v>617</v>
      </c>
      <c r="L10">
        <v>1086514</v>
      </c>
      <c r="M10" s="1">
        <f t="shared" si="1"/>
        <v>2.8707447190258608E-4</v>
      </c>
      <c r="N10" s="1">
        <f t="shared" si="2"/>
        <v>2.8715690732010815E-4</v>
      </c>
    </row>
    <row r="11" spans="1:14" x14ac:dyDescent="0.25">
      <c r="A11" t="s">
        <v>24</v>
      </c>
      <c r="B11" t="s">
        <v>75</v>
      </c>
      <c r="C11">
        <v>1</v>
      </c>
      <c r="D11" t="s">
        <v>40</v>
      </c>
      <c r="E11">
        <v>2</v>
      </c>
      <c r="F11" t="s">
        <v>37</v>
      </c>
      <c r="G11">
        <v>590837</v>
      </c>
      <c r="H11">
        <f>K11+L11</f>
        <v>591467</v>
      </c>
      <c r="I11">
        <f t="shared" si="0"/>
        <v>1134</v>
      </c>
      <c r="J11" s="1">
        <f>1-G11/H11</f>
        <v>1.0651481824006659E-3</v>
      </c>
      <c r="K11">
        <v>1764</v>
      </c>
      <c r="L11">
        <v>589703</v>
      </c>
      <c r="M11" s="1">
        <f t="shared" si="1"/>
        <v>1.9193110790285647E-3</v>
      </c>
      <c r="N11" s="1">
        <f t="shared" si="2"/>
        <v>1.9230019179146112E-3</v>
      </c>
    </row>
    <row r="12" spans="1:14" x14ac:dyDescent="0.25">
      <c r="A12" t="s">
        <v>25</v>
      </c>
      <c r="B12" t="s">
        <v>76</v>
      </c>
      <c r="C12">
        <v>2</v>
      </c>
      <c r="D12" t="s">
        <v>40</v>
      </c>
      <c r="E12">
        <v>2</v>
      </c>
      <c r="F12" t="s">
        <v>37</v>
      </c>
      <c r="G12">
        <v>1081063</v>
      </c>
      <c r="H12">
        <f>K12+L12</f>
        <v>1081669</v>
      </c>
      <c r="I12">
        <f t="shared" si="0"/>
        <v>1451</v>
      </c>
      <c r="J12" s="1">
        <f>1-G12/H12</f>
        <v>5.6024532458631704E-4</v>
      </c>
      <c r="K12">
        <v>2057</v>
      </c>
      <c r="L12">
        <v>1079612</v>
      </c>
      <c r="M12" s="1">
        <f t="shared" si="1"/>
        <v>1.342197448252322E-3</v>
      </c>
      <c r="N12" s="1">
        <f t="shared" si="2"/>
        <v>1.3440013634527959E-3</v>
      </c>
    </row>
    <row r="13" spans="1:14" x14ac:dyDescent="0.25">
      <c r="A13" t="s">
        <v>26</v>
      </c>
      <c r="B13" t="s">
        <v>77</v>
      </c>
      <c r="C13">
        <v>3</v>
      </c>
      <c r="D13" t="s">
        <v>40</v>
      </c>
      <c r="E13">
        <v>2</v>
      </c>
      <c r="F13" t="s">
        <v>37</v>
      </c>
      <c r="G13">
        <v>120418</v>
      </c>
      <c r="H13">
        <f>K13+L13</f>
        <v>120457</v>
      </c>
      <c r="I13">
        <f t="shared" si="0"/>
        <v>108</v>
      </c>
      <c r="J13" s="1">
        <f>1-G13/H13</f>
        <v>3.2376698738967313E-4</v>
      </c>
      <c r="K13">
        <v>147</v>
      </c>
      <c r="L13">
        <v>120310</v>
      </c>
      <c r="M13" s="1">
        <f t="shared" si="1"/>
        <v>8.9687588234317129E-4</v>
      </c>
      <c r="N13" s="1">
        <f t="shared" si="2"/>
        <v>8.9768099077383427E-4</v>
      </c>
    </row>
    <row r="14" spans="1:14" x14ac:dyDescent="0.25">
      <c r="A14" t="s">
        <v>50</v>
      </c>
      <c r="B14" t="s">
        <v>93</v>
      </c>
      <c r="C14">
        <v>1</v>
      </c>
      <c r="D14" t="s">
        <v>40</v>
      </c>
      <c r="E14">
        <v>2</v>
      </c>
      <c r="F14" t="s">
        <v>62</v>
      </c>
      <c r="G14">
        <v>811272</v>
      </c>
      <c r="H14">
        <f>K14+L14</f>
        <v>812143</v>
      </c>
      <c r="I14">
        <f t="shared" si="0"/>
        <v>1671</v>
      </c>
      <c r="J14" s="1">
        <f>1-G14/H14</f>
        <v>1.072471227357763E-3</v>
      </c>
      <c r="K14">
        <v>2542</v>
      </c>
      <c r="L14">
        <v>809601</v>
      </c>
      <c r="M14" s="1">
        <f t="shared" si="1"/>
        <v>2.0597284264710232E-3</v>
      </c>
      <c r="N14" s="1">
        <f t="shared" si="2"/>
        <v>2.0639796640567389E-3</v>
      </c>
    </row>
    <row r="15" spans="1:14" x14ac:dyDescent="0.25">
      <c r="A15" t="s">
        <v>51</v>
      </c>
      <c r="B15" t="s">
        <v>94</v>
      </c>
      <c r="C15">
        <v>2</v>
      </c>
      <c r="D15" t="s">
        <v>40</v>
      </c>
      <c r="E15">
        <v>2</v>
      </c>
      <c r="F15" t="s">
        <v>62</v>
      </c>
      <c r="G15">
        <v>861009</v>
      </c>
      <c r="H15">
        <f>K15+L15</f>
        <v>861739</v>
      </c>
      <c r="I15">
        <f t="shared" si="0"/>
        <v>1452</v>
      </c>
      <c r="J15" s="1">
        <f>1-G15/H15</f>
        <v>8.4712424527610963E-4</v>
      </c>
      <c r="K15">
        <v>2182</v>
      </c>
      <c r="L15">
        <v>859557</v>
      </c>
      <c r="M15" s="1">
        <f t="shared" si="1"/>
        <v>1.6863935220189335E-3</v>
      </c>
      <c r="N15" s="1">
        <f t="shared" si="2"/>
        <v>1.6892422492051139E-3</v>
      </c>
    </row>
    <row r="16" spans="1:14" x14ac:dyDescent="0.25">
      <c r="A16" t="s">
        <v>52</v>
      </c>
      <c r="B16" t="s">
        <v>95</v>
      </c>
      <c r="C16">
        <v>3</v>
      </c>
      <c r="D16" t="s">
        <v>40</v>
      </c>
      <c r="E16">
        <v>2</v>
      </c>
      <c r="F16" t="s">
        <v>62</v>
      </c>
      <c r="G16">
        <v>767604</v>
      </c>
      <c r="H16">
        <f>K16+L16</f>
        <v>768489</v>
      </c>
      <c r="I16">
        <f t="shared" si="0"/>
        <v>1892</v>
      </c>
      <c r="J16" s="1">
        <f>1-G16/H16</f>
        <v>1.1516104980032749E-3</v>
      </c>
      <c r="K16">
        <v>2777</v>
      </c>
      <c r="L16">
        <v>765712</v>
      </c>
      <c r="M16" s="1">
        <f t="shared" si="1"/>
        <v>2.4648125856561458E-3</v>
      </c>
      <c r="N16" s="1">
        <f t="shared" si="2"/>
        <v>2.4709028982176067E-3</v>
      </c>
    </row>
    <row r="17" spans="1:14" x14ac:dyDescent="0.25">
      <c r="A17" t="s">
        <v>6</v>
      </c>
      <c r="B17" t="s">
        <v>111</v>
      </c>
      <c r="C17">
        <v>1</v>
      </c>
      <c r="D17" t="s">
        <v>40</v>
      </c>
      <c r="E17">
        <v>2</v>
      </c>
      <c r="F17" t="s">
        <v>36</v>
      </c>
      <c r="G17">
        <v>1163891</v>
      </c>
      <c r="H17">
        <f>K17+L17</f>
        <v>1166023</v>
      </c>
      <c r="I17">
        <f t="shared" si="0"/>
        <v>3315</v>
      </c>
      <c r="J17" s="1">
        <f>1-G17/H17</f>
        <v>1.8284373464331205E-3</v>
      </c>
      <c r="K17">
        <v>5447</v>
      </c>
      <c r="L17">
        <v>1160576</v>
      </c>
      <c r="M17" s="1">
        <f t="shared" si="1"/>
        <v>2.8482048576713797E-3</v>
      </c>
      <c r="N17" s="1">
        <f t="shared" si="2"/>
        <v>2.8563402999889709E-3</v>
      </c>
    </row>
    <row r="18" spans="1:14" x14ac:dyDescent="0.25">
      <c r="A18" t="s">
        <v>7</v>
      </c>
      <c r="B18" t="s">
        <v>112</v>
      </c>
      <c r="C18">
        <v>2</v>
      </c>
      <c r="D18" t="s">
        <v>40</v>
      </c>
      <c r="E18">
        <v>2</v>
      </c>
      <c r="F18" t="s">
        <v>36</v>
      </c>
      <c r="G18">
        <v>1006196</v>
      </c>
      <c r="H18">
        <f>K18+L18</f>
        <v>1008230</v>
      </c>
      <c r="I18">
        <f t="shared" si="0"/>
        <v>3029</v>
      </c>
      <c r="J18" s="1">
        <f>1-G18/H18</f>
        <v>2.0173968241373741E-3</v>
      </c>
      <c r="K18">
        <v>5063</v>
      </c>
      <c r="L18">
        <v>1003167</v>
      </c>
      <c r="M18" s="1">
        <f t="shared" si="1"/>
        <v>3.0103478845075909E-3</v>
      </c>
      <c r="N18" s="1">
        <f t="shared" si="2"/>
        <v>3.0194374416223817E-3</v>
      </c>
    </row>
    <row r="19" spans="1:14" x14ac:dyDescent="0.25">
      <c r="A19" t="s">
        <v>8</v>
      </c>
      <c r="B19" t="s">
        <v>113</v>
      </c>
      <c r="C19">
        <v>3</v>
      </c>
      <c r="D19" t="s">
        <v>40</v>
      </c>
      <c r="E19">
        <v>2</v>
      </c>
      <c r="F19" t="s">
        <v>36</v>
      </c>
      <c r="G19">
        <v>1150043</v>
      </c>
      <c r="H19">
        <f>K19+L19</f>
        <v>1154996</v>
      </c>
      <c r="I19">
        <f t="shared" si="0"/>
        <v>10068</v>
      </c>
      <c r="J19" s="1">
        <f>1-G19/H19</f>
        <v>4.2883265396590486E-3</v>
      </c>
      <c r="K19">
        <v>15021</v>
      </c>
      <c r="L19">
        <v>1139975</v>
      </c>
      <c r="M19" s="1">
        <f t="shared" si="1"/>
        <v>8.7544552681943204E-3</v>
      </c>
      <c r="N19" s="1">
        <f t="shared" si="2"/>
        <v>8.8317726265926891E-3</v>
      </c>
    </row>
    <row r="20" spans="1:14" x14ac:dyDescent="0.25">
      <c r="A20" t="s">
        <v>27</v>
      </c>
      <c r="B20" t="s">
        <v>78</v>
      </c>
      <c r="C20">
        <v>1</v>
      </c>
      <c r="D20" t="s">
        <v>41</v>
      </c>
      <c r="E20">
        <v>4</v>
      </c>
      <c r="F20" t="s">
        <v>37</v>
      </c>
      <c r="G20">
        <v>432293</v>
      </c>
      <c r="H20">
        <f>K20+L20</f>
        <v>433072</v>
      </c>
      <c r="I20">
        <f t="shared" si="0"/>
        <v>1922</v>
      </c>
      <c r="J20" s="1">
        <f>1-G20/H20</f>
        <v>1.7987771086562798E-3</v>
      </c>
      <c r="K20">
        <v>2701</v>
      </c>
      <c r="L20">
        <v>430371</v>
      </c>
      <c r="M20" s="1">
        <f t="shared" si="1"/>
        <v>4.4460585760121027E-3</v>
      </c>
      <c r="N20" s="1">
        <f t="shared" si="2"/>
        <v>4.4659142925522399E-3</v>
      </c>
    </row>
    <row r="21" spans="1:14" x14ac:dyDescent="0.25">
      <c r="A21" t="s">
        <v>28</v>
      </c>
      <c r="B21" t="s">
        <v>79</v>
      </c>
      <c r="C21">
        <v>2</v>
      </c>
      <c r="D21" t="s">
        <v>41</v>
      </c>
      <c r="E21">
        <v>4</v>
      </c>
      <c r="F21" t="s">
        <v>37</v>
      </c>
      <c r="G21">
        <v>494632</v>
      </c>
      <c r="H21">
        <f>K21+L21</f>
        <v>495560</v>
      </c>
      <c r="I21">
        <f t="shared" si="0"/>
        <v>2050</v>
      </c>
      <c r="J21" s="1">
        <f>1-G21/H21</f>
        <v>1.8726289450319289E-3</v>
      </c>
      <c r="K21">
        <v>2978</v>
      </c>
      <c r="L21">
        <v>492582</v>
      </c>
      <c r="M21" s="1">
        <f t="shared" si="1"/>
        <v>4.1444953015575218E-3</v>
      </c>
      <c r="N21" s="1">
        <f t="shared" si="2"/>
        <v>4.1617436284720104E-3</v>
      </c>
    </row>
    <row r="22" spans="1:14" x14ac:dyDescent="0.25">
      <c r="A22" t="s">
        <v>29</v>
      </c>
      <c r="B22" t="s">
        <v>80</v>
      </c>
      <c r="C22">
        <v>3</v>
      </c>
      <c r="D22" t="s">
        <v>41</v>
      </c>
      <c r="E22">
        <v>4</v>
      </c>
      <c r="F22" t="s">
        <v>37</v>
      </c>
      <c r="G22">
        <v>442554</v>
      </c>
      <c r="H22">
        <f>K22+L22</f>
        <v>443064</v>
      </c>
      <c r="I22">
        <f t="shared" si="0"/>
        <v>1111</v>
      </c>
      <c r="J22" s="1">
        <f>1-G22/H22</f>
        <v>1.1510752396944879E-3</v>
      </c>
      <c r="K22">
        <v>1621</v>
      </c>
      <c r="L22">
        <v>441443</v>
      </c>
      <c r="M22" s="1">
        <f t="shared" si="1"/>
        <v>2.5104281059486525E-3</v>
      </c>
      <c r="N22" s="1">
        <f t="shared" si="2"/>
        <v>2.5167462163858075E-3</v>
      </c>
    </row>
    <row r="23" spans="1:14" x14ac:dyDescent="0.25">
      <c r="A23" t="s">
        <v>53</v>
      </c>
      <c r="B23" t="s">
        <v>96</v>
      </c>
      <c r="C23">
        <v>1</v>
      </c>
      <c r="D23" t="s">
        <v>41</v>
      </c>
      <c r="E23">
        <v>4</v>
      </c>
      <c r="F23" t="s">
        <v>62</v>
      </c>
      <c r="G23">
        <v>660295</v>
      </c>
      <c r="H23">
        <f>K23+L23</f>
        <v>664299</v>
      </c>
      <c r="I23">
        <f t="shared" si="0"/>
        <v>9650</v>
      </c>
      <c r="J23" s="1">
        <f>1-G23/H23</f>
        <v>6.0274063335937766E-3</v>
      </c>
      <c r="K23">
        <v>13654</v>
      </c>
      <c r="L23">
        <v>650645</v>
      </c>
      <c r="M23" s="1">
        <f t="shared" si="1"/>
        <v>1.4614679802209618E-2</v>
      </c>
      <c r="N23" s="1">
        <f t="shared" si="2"/>
        <v>1.4831436497629276E-2</v>
      </c>
    </row>
    <row r="24" spans="1:14" x14ac:dyDescent="0.25">
      <c r="A24" t="s">
        <v>54</v>
      </c>
      <c r="B24" t="s">
        <v>97</v>
      </c>
      <c r="C24">
        <v>2</v>
      </c>
      <c r="D24" t="s">
        <v>41</v>
      </c>
      <c r="E24">
        <v>4</v>
      </c>
      <c r="F24" t="s">
        <v>62</v>
      </c>
      <c r="G24">
        <v>645840</v>
      </c>
      <c r="H24">
        <f>K24+L24</f>
        <v>649867</v>
      </c>
      <c r="I24">
        <f t="shared" si="0"/>
        <v>9122</v>
      </c>
      <c r="J24" s="1">
        <f>1-G24/H24</f>
        <v>6.1966525458285737E-3</v>
      </c>
      <c r="K24">
        <v>13149</v>
      </c>
      <c r="L24">
        <v>636718</v>
      </c>
      <c r="M24" s="1">
        <f t="shared" si="1"/>
        <v>1.4124241298154342E-2</v>
      </c>
      <c r="N24" s="1">
        <f t="shared" si="2"/>
        <v>1.4326593562613276E-2</v>
      </c>
    </row>
    <row r="25" spans="1:14" x14ac:dyDescent="0.25">
      <c r="A25" t="s">
        <v>55</v>
      </c>
      <c r="B25" t="s">
        <v>98</v>
      </c>
      <c r="C25">
        <v>3</v>
      </c>
      <c r="D25" t="s">
        <v>41</v>
      </c>
      <c r="E25">
        <v>4</v>
      </c>
      <c r="F25" t="s">
        <v>62</v>
      </c>
      <c r="G25">
        <v>469480</v>
      </c>
      <c r="H25">
        <f>K25+L25</f>
        <v>474320</v>
      </c>
      <c r="I25">
        <f t="shared" si="0"/>
        <v>10735</v>
      </c>
      <c r="J25" s="1">
        <f>1-G25/H25</f>
        <v>1.0204081632653073E-2</v>
      </c>
      <c r="K25">
        <v>15575</v>
      </c>
      <c r="L25">
        <v>458745</v>
      </c>
      <c r="M25" s="1">
        <f t="shared" si="1"/>
        <v>2.2865723779500725E-2</v>
      </c>
      <c r="N25" s="1">
        <f t="shared" si="2"/>
        <v>2.3400800008719441E-2</v>
      </c>
    </row>
    <row r="26" spans="1:14" x14ac:dyDescent="0.25">
      <c r="A26" t="s">
        <v>9</v>
      </c>
      <c r="B26" t="s">
        <v>114</v>
      </c>
      <c r="C26">
        <v>1</v>
      </c>
      <c r="D26" t="s">
        <v>41</v>
      </c>
      <c r="E26">
        <v>4</v>
      </c>
      <c r="F26" t="s">
        <v>36</v>
      </c>
      <c r="G26">
        <v>1004627</v>
      </c>
      <c r="H26">
        <f>K26+L26</f>
        <v>1013662</v>
      </c>
      <c r="I26">
        <f t="shared" si="0"/>
        <v>25139</v>
      </c>
      <c r="J26" s="1">
        <f>1-G26/H26</f>
        <v>8.9132274860851401E-3</v>
      </c>
      <c r="K26">
        <v>34174</v>
      </c>
      <c r="L26">
        <v>979488</v>
      </c>
      <c r="M26" s="1">
        <f t="shared" si="1"/>
        <v>2.5023217572293002E-2</v>
      </c>
      <c r="N26" s="1">
        <f t="shared" si="2"/>
        <v>2.5665449704335326E-2</v>
      </c>
    </row>
    <row r="27" spans="1:14" x14ac:dyDescent="0.25">
      <c r="A27" t="s">
        <v>10</v>
      </c>
      <c r="B27" t="s">
        <v>115</v>
      </c>
      <c r="C27">
        <v>2</v>
      </c>
      <c r="D27" t="s">
        <v>41</v>
      </c>
      <c r="E27">
        <v>4</v>
      </c>
      <c r="F27" t="s">
        <v>36</v>
      </c>
      <c r="G27">
        <v>1046695</v>
      </c>
      <c r="H27">
        <f>K27+L27</f>
        <v>1057041</v>
      </c>
      <c r="I27">
        <f t="shared" si="0"/>
        <v>26597</v>
      </c>
      <c r="J27" s="1">
        <f>1-G27/H27</f>
        <v>9.7876998148604955E-3</v>
      </c>
      <c r="K27">
        <v>36943</v>
      </c>
      <c r="L27">
        <v>1020098</v>
      </c>
      <c r="M27" s="1">
        <f t="shared" si="1"/>
        <v>2.5410458634081562E-2</v>
      </c>
      <c r="N27" s="1">
        <f t="shared" si="2"/>
        <v>2.6072985144564541E-2</v>
      </c>
    </row>
    <row r="28" spans="1:14" x14ac:dyDescent="0.25">
      <c r="A28" t="s">
        <v>11</v>
      </c>
      <c r="B28" t="s">
        <v>116</v>
      </c>
      <c r="C28">
        <v>3</v>
      </c>
      <c r="D28" t="s">
        <v>41</v>
      </c>
      <c r="E28">
        <v>4</v>
      </c>
      <c r="F28" t="s">
        <v>36</v>
      </c>
      <c r="G28">
        <v>1022481</v>
      </c>
      <c r="H28">
        <f>K28+L28</f>
        <v>1034235</v>
      </c>
      <c r="I28">
        <f t="shared" si="0"/>
        <v>24309</v>
      </c>
      <c r="J28" s="1">
        <f>1-G28/H28</f>
        <v>1.1364921898794789E-2</v>
      </c>
      <c r="K28">
        <v>36063</v>
      </c>
      <c r="L28">
        <v>998172</v>
      </c>
      <c r="M28" s="1">
        <f t="shared" si="1"/>
        <v>2.3774524905597269E-2</v>
      </c>
      <c r="N28" s="1">
        <f t="shared" si="2"/>
        <v>2.4353518231326865E-2</v>
      </c>
    </row>
    <row r="29" spans="1:14" x14ac:dyDescent="0.25">
      <c r="A29" t="s">
        <v>30</v>
      </c>
      <c r="B29" t="s">
        <v>81</v>
      </c>
      <c r="C29">
        <v>1</v>
      </c>
      <c r="D29" t="s">
        <v>42</v>
      </c>
      <c r="E29">
        <v>6</v>
      </c>
      <c r="F29" t="s">
        <v>37</v>
      </c>
      <c r="G29">
        <v>458016</v>
      </c>
      <c r="H29">
        <f>K29+L29</f>
        <v>460702</v>
      </c>
      <c r="I29">
        <f t="shared" si="0"/>
        <v>7297</v>
      </c>
      <c r="J29" s="1">
        <f>1-G29/H29</f>
        <v>5.8302329922595986E-3</v>
      </c>
      <c r="K29">
        <v>9983</v>
      </c>
      <c r="L29">
        <v>450719</v>
      </c>
      <c r="M29" s="1">
        <f t="shared" si="1"/>
        <v>1.5931757842520787E-2</v>
      </c>
      <c r="N29" s="1">
        <f t="shared" si="2"/>
        <v>1.6189688031789207E-2</v>
      </c>
    </row>
    <row r="30" spans="1:14" x14ac:dyDescent="0.25">
      <c r="A30" t="s">
        <v>31</v>
      </c>
      <c r="B30" t="s">
        <v>82</v>
      </c>
      <c r="C30">
        <v>2</v>
      </c>
      <c r="D30" t="s">
        <v>42</v>
      </c>
      <c r="E30">
        <v>6</v>
      </c>
      <c r="F30" t="s">
        <v>37</v>
      </c>
      <c r="G30">
        <v>614079</v>
      </c>
      <c r="H30">
        <f>K30+L30</f>
        <v>618629</v>
      </c>
      <c r="I30">
        <f t="shared" si="0"/>
        <v>11471</v>
      </c>
      <c r="J30" s="1">
        <f>1-G30/H30</f>
        <v>7.3549736594954451E-3</v>
      </c>
      <c r="K30">
        <v>16021</v>
      </c>
      <c r="L30">
        <v>602608</v>
      </c>
      <c r="M30" s="1">
        <f t="shared" si="1"/>
        <v>1.8680006969787274E-2</v>
      </c>
      <c r="N30" s="1">
        <f t="shared" si="2"/>
        <v>1.9035591960279319E-2</v>
      </c>
    </row>
    <row r="31" spans="1:14" x14ac:dyDescent="0.25">
      <c r="A31" t="s">
        <v>32</v>
      </c>
      <c r="B31" t="s">
        <v>83</v>
      </c>
      <c r="C31">
        <v>3</v>
      </c>
      <c r="D31" t="s">
        <v>42</v>
      </c>
      <c r="E31">
        <v>6</v>
      </c>
      <c r="F31" t="s">
        <v>37</v>
      </c>
      <c r="G31">
        <v>584889</v>
      </c>
      <c r="H31">
        <f>K31+L31</f>
        <v>588239</v>
      </c>
      <c r="I31">
        <f t="shared" si="0"/>
        <v>9210</v>
      </c>
      <c r="J31" s="1">
        <f>1-G31/H31</f>
        <v>5.6949641217259872E-3</v>
      </c>
      <c r="K31">
        <v>12560</v>
      </c>
      <c r="L31">
        <v>575679</v>
      </c>
      <c r="M31" s="1">
        <f t="shared" si="1"/>
        <v>1.5746577555741346E-2</v>
      </c>
      <c r="N31" s="1">
        <f t="shared" si="2"/>
        <v>1.5998499163596379E-2</v>
      </c>
    </row>
    <row r="32" spans="1:14" x14ac:dyDescent="0.25">
      <c r="A32" t="s">
        <v>56</v>
      </c>
      <c r="B32" t="s">
        <v>99</v>
      </c>
      <c r="C32">
        <v>1</v>
      </c>
      <c r="D32" t="s">
        <v>42</v>
      </c>
      <c r="E32">
        <v>6</v>
      </c>
      <c r="F32" t="s">
        <v>62</v>
      </c>
      <c r="G32">
        <v>677420</v>
      </c>
      <c r="H32">
        <f>K32+L32</f>
        <v>691112</v>
      </c>
      <c r="I32">
        <f t="shared" si="0"/>
        <v>31703</v>
      </c>
      <c r="J32" s="1">
        <f>1-G32/H32</f>
        <v>1.9811550081607621E-2</v>
      </c>
      <c r="K32">
        <v>45395</v>
      </c>
      <c r="L32">
        <v>645717</v>
      </c>
      <c r="M32" s="1">
        <f t="shared" si="1"/>
        <v>4.6799622095598001E-2</v>
      </c>
      <c r="N32" s="1">
        <f t="shared" si="2"/>
        <v>4.90973599889735E-2</v>
      </c>
    </row>
    <row r="33" spans="1:14" x14ac:dyDescent="0.25">
      <c r="A33" t="s">
        <v>57</v>
      </c>
      <c r="B33" t="s">
        <v>100</v>
      </c>
      <c r="C33">
        <v>2</v>
      </c>
      <c r="D33" t="s">
        <v>42</v>
      </c>
      <c r="E33">
        <v>6</v>
      </c>
      <c r="F33" t="s">
        <v>62</v>
      </c>
      <c r="G33">
        <v>1000931</v>
      </c>
      <c r="H33">
        <f>K33+L33</f>
        <v>1020371</v>
      </c>
      <c r="I33">
        <f t="shared" si="0"/>
        <v>49628</v>
      </c>
      <c r="J33" s="1">
        <f>1-G33/H33</f>
        <v>1.9051893869974745E-2</v>
      </c>
      <c r="K33">
        <v>69068</v>
      </c>
      <c r="L33">
        <v>951303</v>
      </c>
      <c r="M33" s="1">
        <f t="shared" si="1"/>
        <v>4.9581839307604618E-2</v>
      </c>
      <c r="N33" s="1">
        <f t="shared" si="2"/>
        <v>5.2168446856574617E-2</v>
      </c>
    </row>
    <row r="34" spans="1:14" x14ac:dyDescent="0.25">
      <c r="A34" t="s">
        <v>58</v>
      </c>
      <c r="B34" t="s">
        <v>101</v>
      </c>
      <c r="C34">
        <v>3</v>
      </c>
      <c r="D34" t="s">
        <v>42</v>
      </c>
      <c r="E34">
        <v>6</v>
      </c>
      <c r="F34" t="s">
        <v>62</v>
      </c>
      <c r="G34">
        <v>708763</v>
      </c>
      <c r="H34">
        <f>K34+L34</f>
        <v>726791</v>
      </c>
      <c r="I34">
        <f t="shared" si="0"/>
        <v>41752</v>
      </c>
      <c r="J34" s="1">
        <f>1-G34/H34</f>
        <v>2.4804930165618466E-2</v>
      </c>
      <c r="K34">
        <v>59780</v>
      </c>
      <c r="L34">
        <v>667011</v>
      </c>
      <c r="M34" s="1">
        <f t="shared" si="1"/>
        <v>5.8908266938313657E-2</v>
      </c>
      <c r="N34" s="1">
        <f t="shared" si="2"/>
        <v>6.2595669336787549E-2</v>
      </c>
    </row>
    <row r="35" spans="1:14" x14ac:dyDescent="0.25">
      <c r="A35" t="s">
        <v>12</v>
      </c>
      <c r="B35" t="s">
        <v>117</v>
      </c>
      <c r="C35">
        <v>1</v>
      </c>
      <c r="D35" t="s">
        <v>42</v>
      </c>
      <c r="E35">
        <v>6</v>
      </c>
      <c r="F35" t="s">
        <v>36</v>
      </c>
      <c r="G35">
        <v>815808</v>
      </c>
      <c r="H35">
        <f>K35+L35</f>
        <v>866574</v>
      </c>
      <c r="I35">
        <f t="shared" si="0"/>
        <v>122339</v>
      </c>
      <c r="J35" s="1">
        <f>1-G35/H35</f>
        <v>5.8582417658503472E-2</v>
      </c>
      <c r="K35">
        <v>173105</v>
      </c>
      <c r="L35">
        <v>693469</v>
      </c>
      <c r="M35" s="1">
        <f t="shared" si="1"/>
        <v>0.14996052992861064</v>
      </c>
      <c r="N35" s="1">
        <f t="shared" si="2"/>
        <v>0.17641596091534012</v>
      </c>
    </row>
    <row r="36" spans="1:14" x14ac:dyDescent="0.25">
      <c r="A36" t="s">
        <v>13</v>
      </c>
      <c r="B36" t="s">
        <v>118</v>
      </c>
      <c r="C36">
        <v>2</v>
      </c>
      <c r="D36" t="s">
        <v>42</v>
      </c>
      <c r="E36">
        <v>6</v>
      </c>
      <c r="F36" t="s">
        <v>36</v>
      </c>
      <c r="G36">
        <v>850347</v>
      </c>
      <c r="H36">
        <f>K36+L36</f>
        <v>897770</v>
      </c>
      <c r="I36">
        <f t="shared" si="0"/>
        <v>105369</v>
      </c>
      <c r="J36" s="1">
        <f>1-G36/H36</f>
        <v>5.2823106140771015E-2</v>
      </c>
      <c r="K36">
        <v>152792</v>
      </c>
      <c r="L36">
        <v>744978</v>
      </c>
      <c r="M36" s="1">
        <f t="shared" si="1"/>
        <v>0.12391294377471786</v>
      </c>
      <c r="N36" s="1">
        <f t="shared" si="2"/>
        <v>0.14143907605325257</v>
      </c>
    </row>
    <row r="37" spans="1:14" x14ac:dyDescent="0.25">
      <c r="A37" t="s">
        <v>14</v>
      </c>
      <c r="B37" t="s">
        <v>119</v>
      </c>
      <c r="C37">
        <v>3</v>
      </c>
      <c r="D37" t="s">
        <v>42</v>
      </c>
      <c r="E37">
        <v>6</v>
      </c>
      <c r="F37" t="s">
        <v>36</v>
      </c>
      <c r="G37">
        <v>726799</v>
      </c>
      <c r="H37">
        <f>K37+L37</f>
        <v>764648</v>
      </c>
      <c r="I37">
        <f t="shared" si="0"/>
        <v>107175</v>
      </c>
      <c r="J37" s="1">
        <f>1-G37/H37</f>
        <v>4.9498592816563991E-2</v>
      </c>
      <c r="K37">
        <v>145024</v>
      </c>
      <c r="L37">
        <v>619624</v>
      </c>
      <c r="M37" s="1">
        <f t="shared" si="1"/>
        <v>0.14746167785040981</v>
      </c>
      <c r="N37" s="1">
        <f t="shared" si="2"/>
        <v>0.17296779982699184</v>
      </c>
    </row>
    <row r="38" spans="1:14" x14ac:dyDescent="0.25">
      <c r="A38" t="s">
        <v>33</v>
      </c>
      <c r="B38" t="s">
        <v>84</v>
      </c>
      <c r="C38">
        <v>1</v>
      </c>
      <c r="D38" t="s">
        <v>43</v>
      </c>
      <c r="E38">
        <v>8</v>
      </c>
      <c r="F38" t="s">
        <v>37</v>
      </c>
      <c r="G38">
        <v>1005346</v>
      </c>
      <c r="H38">
        <f>K38+L38</f>
        <v>1020475</v>
      </c>
      <c r="I38">
        <f t="shared" si="0"/>
        <v>39845</v>
      </c>
      <c r="J38" s="1">
        <f>1-G38/H38</f>
        <v>1.4825448933094898E-2</v>
      </c>
      <c r="K38">
        <v>54974</v>
      </c>
      <c r="L38">
        <v>965501</v>
      </c>
      <c r="M38" s="1">
        <f t="shared" si="1"/>
        <v>3.9633121333351902E-2</v>
      </c>
      <c r="N38" s="1">
        <f t="shared" si="2"/>
        <v>4.1268729913278186E-2</v>
      </c>
    </row>
    <row r="39" spans="1:14" x14ac:dyDescent="0.25">
      <c r="A39" t="s">
        <v>34</v>
      </c>
      <c r="B39" t="s">
        <v>85</v>
      </c>
      <c r="C39">
        <v>2</v>
      </c>
      <c r="D39" t="s">
        <v>43</v>
      </c>
      <c r="E39">
        <v>8</v>
      </c>
      <c r="F39" t="s">
        <v>37</v>
      </c>
      <c r="G39">
        <v>886905</v>
      </c>
      <c r="H39">
        <f>K39+L39</f>
        <v>904972</v>
      </c>
      <c r="I39">
        <f t="shared" si="0"/>
        <v>43498</v>
      </c>
      <c r="J39" s="1">
        <f>1-G39/H39</f>
        <v>1.9964153587072264E-2</v>
      </c>
      <c r="K39">
        <v>61565</v>
      </c>
      <c r="L39">
        <v>843407</v>
      </c>
      <c r="M39" s="1">
        <f t="shared" si="1"/>
        <v>4.9044711665849214E-2</v>
      </c>
      <c r="N39" s="1">
        <f t="shared" si="2"/>
        <v>5.1574151032656834E-2</v>
      </c>
    </row>
    <row r="40" spans="1:14" x14ac:dyDescent="0.25">
      <c r="A40" t="s">
        <v>35</v>
      </c>
      <c r="B40" t="s">
        <v>86</v>
      </c>
      <c r="C40">
        <v>3</v>
      </c>
      <c r="D40" t="s">
        <v>43</v>
      </c>
      <c r="E40">
        <v>8</v>
      </c>
      <c r="F40" t="s">
        <v>37</v>
      </c>
      <c r="G40">
        <v>853371</v>
      </c>
      <c r="H40">
        <f>K40+L40</f>
        <v>868692</v>
      </c>
      <c r="I40">
        <f t="shared" si="0"/>
        <v>36721</v>
      </c>
      <c r="J40" s="1">
        <f>1-G40/H40</f>
        <v>1.7636860935751675E-2</v>
      </c>
      <c r="K40">
        <v>52042</v>
      </c>
      <c r="L40">
        <v>816650</v>
      </c>
      <c r="M40" s="1">
        <f t="shared" si="1"/>
        <v>4.3030522480843617E-2</v>
      </c>
      <c r="N40" s="1">
        <f t="shared" si="2"/>
        <v>4.4965407457295048E-2</v>
      </c>
    </row>
    <row r="41" spans="1:14" x14ac:dyDescent="0.25">
      <c r="A41" t="s">
        <v>59</v>
      </c>
      <c r="B41" t="s">
        <v>102</v>
      </c>
      <c r="C41">
        <v>1</v>
      </c>
      <c r="D41" t="s">
        <v>43</v>
      </c>
      <c r="E41">
        <v>8</v>
      </c>
      <c r="F41" t="s">
        <v>62</v>
      </c>
      <c r="G41">
        <v>675329</v>
      </c>
      <c r="H41">
        <f>K41+L41</f>
        <v>702672</v>
      </c>
      <c r="I41">
        <f t="shared" si="0"/>
        <v>61805</v>
      </c>
      <c r="J41" s="1">
        <f>1-G41/H41</f>
        <v>3.8912892501764662E-2</v>
      </c>
      <c r="K41">
        <v>89148</v>
      </c>
      <c r="L41">
        <v>613524</v>
      </c>
      <c r="M41" s="1">
        <f t="shared" si="1"/>
        <v>9.1518356238218704E-2</v>
      </c>
      <c r="N41" s="1">
        <f t="shared" si="2"/>
        <v>0.10073770545243543</v>
      </c>
    </row>
    <row r="42" spans="1:14" x14ac:dyDescent="0.25">
      <c r="A42" t="s">
        <v>60</v>
      </c>
      <c r="B42" t="s">
        <v>103</v>
      </c>
      <c r="C42">
        <v>2</v>
      </c>
      <c r="D42" t="s">
        <v>43</v>
      </c>
      <c r="E42">
        <v>8</v>
      </c>
      <c r="F42" t="s">
        <v>62</v>
      </c>
      <c r="G42">
        <v>576494</v>
      </c>
      <c r="H42">
        <f>K42+L42</f>
        <v>617850</v>
      </c>
      <c r="I42">
        <f t="shared" si="0"/>
        <v>72083</v>
      </c>
      <c r="J42" s="1">
        <f>1-G42/H42</f>
        <v>6.693534029295134E-2</v>
      </c>
      <c r="K42">
        <v>113439</v>
      </c>
      <c r="L42">
        <v>504411</v>
      </c>
      <c r="M42" s="1">
        <f t="shared" si="1"/>
        <v>0.12503686074790024</v>
      </c>
      <c r="N42" s="1">
        <f t="shared" si="2"/>
        <v>0.14290528953571591</v>
      </c>
    </row>
    <row r="43" spans="1:14" x14ac:dyDescent="0.25">
      <c r="A43" t="s">
        <v>61</v>
      </c>
      <c r="B43" t="s">
        <v>104</v>
      </c>
      <c r="C43">
        <v>3</v>
      </c>
      <c r="D43" t="s">
        <v>43</v>
      </c>
      <c r="E43">
        <v>8</v>
      </c>
      <c r="F43" t="s">
        <v>62</v>
      </c>
      <c r="G43">
        <v>71074</v>
      </c>
      <c r="H43">
        <f>K43+L43</f>
        <v>74372</v>
      </c>
      <c r="I43">
        <f t="shared" si="0"/>
        <v>6102</v>
      </c>
      <c r="J43" s="1">
        <f>1-G43/H43</f>
        <v>4.4344645834453855E-2</v>
      </c>
      <c r="K43">
        <v>9400</v>
      </c>
      <c r="L43">
        <v>64972</v>
      </c>
      <c r="M43" s="1">
        <f t="shared" si="1"/>
        <v>8.5854180150265927E-2</v>
      </c>
      <c r="N43" s="1">
        <f t="shared" si="2"/>
        <v>9.3917379794372965E-2</v>
      </c>
    </row>
    <row r="44" spans="1:14" x14ac:dyDescent="0.25">
      <c r="A44" t="s">
        <v>15</v>
      </c>
      <c r="B44" t="s">
        <v>120</v>
      </c>
      <c r="C44">
        <v>1</v>
      </c>
      <c r="D44" t="s">
        <v>43</v>
      </c>
      <c r="E44">
        <v>8</v>
      </c>
      <c r="F44" t="s">
        <v>36</v>
      </c>
      <c r="G44">
        <v>641689</v>
      </c>
      <c r="H44">
        <f>K44+L44</f>
        <v>723352</v>
      </c>
      <c r="I44">
        <f t="shared" si="0"/>
        <v>199898</v>
      </c>
      <c r="J44" s="1">
        <f>1-G44/H44</f>
        <v>0.11289524325639522</v>
      </c>
      <c r="K44">
        <v>281561</v>
      </c>
      <c r="L44">
        <v>441791</v>
      </c>
      <c r="M44" s="1">
        <f t="shared" si="1"/>
        <v>0.31151850818698779</v>
      </c>
      <c r="N44" s="1">
        <f t="shared" si="2"/>
        <v>0.45247187018295981</v>
      </c>
    </row>
    <row r="45" spans="1:14" x14ac:dyDescent="0.25">
      <c r="A45" t="s">
        <v>16</v>
      </c>
      <c r="B45" t="s">
        <v>121</v>
      </c>
      <c r="C45">
        <v>2</v>
      </c>
      <c r="D45" t="s">
        <v>43</v>
      </c>
      <c r="E45">
        <v>8</v>
      </c>
      <c r="F45" t="s">
        <v>36</v>
      </c>
      <c r="G45">
        <v>661302</v>
      </c>
      <c r="H45">
        <f>K45+L45</f>
        <v>740659</v>
      </c>
      <c r="I45">
        <f t="shared" si="0"/>
        <v>204301</v>
      </c>
      <c r="J45" s="1">
        <f>1-G45/H45</f>
        <v>0.10714377331538538</v>
      </c>
      <c r="K45">
        <v>283658</v>
      </c>
      <c r="L45">
        <v>457001</v>
      </c>
      <c r="M45" s="1">
        <f t="shared" si="1"/>
        <v>0.30893752022525262</v>
      </c>
      <c r="N45" s="1">
        <f t="shared" si="2"/>
        <v>0.44704716182240301</v>
      </c>
    </row>
    <row r="46" spans="1:14" x14ac:dyDescent="0.25">
      <c r="A46" t="s">
        <v>17</v>
      </c>
      <c r="B46" t="s">
        <v>122</v>
      </c>
      <c r="C46">
        <v>3</v>
      </c>
      <c r="D46" t="s">
        <v>43</v>
      </c>
      <c r="E46">
        <v>8</v>
      </c>
      <c r="F46" t="s">
        <v>36</v>
      </c>
      <c r="G46">
        <v>696425</v>
      </c>
      <c r="H46">
        <f>K46+L46</f>
        <v>783712</v>
      </c>
      <c r="I46">
        <f t="shared" si="0"/>
        <v>211166</v>
      </c>
      <c r="J46" s="1">
        <f>1-G46/H46</f>
        <v>0.11137637295332981</v>
      </c>
      <c r="K46">
        <v>298453</v>
      </c>
      <c r="L46">
        <v>485259</v>
      </c>
      <c r="M46" s="1">
        <f t="shared" si="1"/>
        <v>0.30321427289370717</v>
      </c>
      <c r="N46" s="1">
        <f t="shared" si="2"/>
        <v>0.43516142925736567</v>
      </c>
    </row>
    <row r="47" spans="1:14" x14ac:dyDescent="0.25">
      <c r="A47" t="s">
        <v>18</v>
      </c>
      <c r="B47" t="s">
        <v>69</v>
      </c>
      <c r="C47">
        <v>1</v>
      </c>
      <c r="D47" t="s">
        <v>38</v>
      </c>
      <c r="E47">
        <v>12</v>
      </c>
      <c r="F47" t="s">
        <v>37</v>
      </c>
      <c r="G47">
        <v>890309</v>
      </c>
      <c r="H47">
        <f>K47+L47</f>
        <v>997596</v>
      </c>
      <c r="I47">
        <f t="shared" si="0"/>
        <v>243597</v>
      </c>
      <c r="J47" s="1">
        <f>1-G47/H47</f>
        <v>0.10754553947690249</v>
      </c>
      <c r="K47">
        <v>350884</v>
      </c>
      <c r="L47">
        <v>646712</v>
      </c>
      <c r="M47" s="1">
        <f t="shared" si="1"/>
        <v>0.27360949962316455</v>
      </c>
      <c r="N47" s="1">
        <f t="shared" si="2"/>
        <v>0.37666998602159851</v>
      </c>
    </row>
    <row r="48" spans="1:14" x14ac:dyDescent="0.25">
      <c r="A48" t="s">
        <v>19</v>
      </c>
      <c r="B48" t="s">
        <v>70</v>
      </c>
      <c r="C48">
        <v>2</v>
      </c>
      <c r="D48" t="s">
        <v>38</v>
      </c>
      <c r="E48">
        <v>12</v>
      </c>
      <c r="F48" t="s">
        <v>37</v>
      </c>
      <c r="G48">
        <v>1014650</v>
      </c>
      <c r="H48">
        <f>K48+L48</f>
        <v>1106355</v>
      </c>
      <c r="I48">
        <f t="shared" si="0"/>
        <v>223078</v>
      </c>
      <c r="J48" s="1">
        <f>1-G48/H48</f>
        <v>8.2889307681530799E-2</v>
      </c>
      <c r="K48">
        <v>314783</v>
      </c>
      <c r="L48">
        <v>791572</v>
      </c>
      <c r="M48" s="1">
        <f t="shared" si="1"/>
        <v>0.21985709357906669</v>
      </c>
      <c r="N48" s="1">
        <f t="shared" si="2"/>
        <v>0.28181643615489177</v>
      </c>
    </row>
    <row r="49" spans="1:14" x14ac:dyDescent="0.25">
      <c r="A49" t="s">
        <v>20</v>
      </c>
      <c r="B49" t="s">
        <v>71</v>
      </c>
      <c r="C49">
        <v>3</v>
      </c>
      <c r="D49" t="s">
        <v>38</v>
      </c>
      <c r="E49">
        <v>12</v>
      </c>
      <c r="F49" t="s">
        <v>37</v>
      </c>
      <c r="G49">
        <v>906808</v>
      </c>
      <c r="H49">
        <f>K49+L49</f>
        <v>958356</v>
      </c>
      <c r="I49">
        <f t="shared" si="0"/>
        <v>127978</v>
      </c>
      <c r="J49" s="1">
        <f>1-G49/H49</f>
        <v>5.3787945189470276E-2</v>
      </c>
      <c r="K49">
        <v>179526</v>
      </c>
      <c r="L49">
        <v>778830</v>
      </c>
      <c r="M49" s="1">
        <f t="shared" si="1"/>
        <v>0.1411302061737435</v>
      </c>
      <c r="N49" s="1">
        <f t="shared" si="2"/>
        <v>0.16432084023471105</v>
      </c>
    </row>
    <row r="50" spans="1:14" x14ac:dyDescent="0.25">
      <c r="A50" t="s">
        <v>44</v>
      </c>
      <c r="B50" t="s">
        <v>87</v>
      </c>
      <c r="C50">
        <v>1</v>
      </c>
      <c r="D50" t="s">
        <v>38</v>
      </c>
      <c r="E50">
        <v>12</v>
      </c>
      <c r="F50" t="s">
        <v>62</v>
      </c>
      <c r="G50">
        <v>535899</v>
      </c>
      <c r="H50">
        <f>K50+L50</f>
        <v>633950</v>
      </c>
      <c r="I50">
        <f t="shared" si="0"/>
        <v>198598</v>
      </c>
      <c r="J50" s="1">
        <f>1-G50/H50</f>
        <v>0.15466677182743116</v>
      </c>
      <c r="K50">
        <v>296649</v>
      </c>
      <c r="L50">
        <v>337301</v>
      </c>
      <c r="M50" s="1">
        <f t="shared" si="1"/>
        <v>0.37058848775608838</v>
      </c>
      <c r="N50" s="1">
        <f t="shared" si="2"/>
        <v>0.58878568400330866</v>
      </c>
    </row>
    <row r="51" spans="1:14" x14ac:dyDescent="0.25">
      <c r="A51" t="s">
        <v>45</v>
      </c>
      <c r="B51" t="s">
        <v>88</v>
      </c>
      <c r="C51">
        <v>2</v>
      </c>
      <c r="D51" t="s">
        <v>38</v>
      </c>
      <c r="E51">
        <v>12</v>
      </c>
      <c r="F51" t="s">
        <v>62</v>
      </c>
      <c r="G51">
        <v>648640</v>
      </c>
      <c r="H51">
        <f>K51+L51</f>
        <v>757732</v>
      </c>
      <c r="I51">
        <f t="shared" si="0"/>
        <v>246348</v>
      </c>
      <c r="J51" s="1">
        <f>1-G51/H51</f>
        <v>0.1439717472668437</v>
      </c>
      <c r="K51">
        <v>355440</v>
      </c>
      <c r="L51">
        <v>402292</v>
      </c>
      <c r="M51" s="1">
        <f t="shared" si="1"/>
        <v>0.3797915638875185</v>
      </c>
      <c r="N51" s="1">
        <f t="shared" si="2"/>
        <v>0.6123611704930747</v>
      </c>
    </row>
    <row r="52" spans="1:14" x14ac:dyDescent="0.25">
      <c r="A52" t="s">
        <v>46</v>
      </c>
      <c r="B52" t="s">
        <v>89</v>
      </c>
      <c r="C52">
        <v>3</v>
      </c>
      <c r="D52" t="s">
        <v>38</v>
      </c>
      <c r="E52">
        <v>12</v>
      </c>
      <c r="F52" t="s">
        <v>62</v>
      </c>
      <c r="G52">
        <v>532004</v>
      </c>
      <c r="H52">
        <f>K52+L52</f>
        <v>614399</v>
      </c>
      <c r="I52">
        <f t="shared" si="0"/>
        <v>175809</v>
      </c>
      <c r="J52" s="1">
        <f>1-G52/H52</f>
        <v>0.1341066635850644</v>
      </c>
      <c r="K52">
        <v>258204</v>
      </c>
      <c r="L52">
        <v>356195</v>
      </c>
      <c r="M52" s="1">
        <f t="shared" si="1"/>
        <v>0.33046556040932024</v>
      </c>
      <c r="N52" s="1">
        <f t="shared" si="2"/>
        <v>0.49357514844397032</v>
      </c>
    </row>
    <row r="53" spans="1:14" x14ac:dyDescent="0.25">
      <c r="A53" t="s">
        <v>0</v>
      </c>
      <c r="B53" t="s">
        <v>105</v>
      </c>
      <c r="C53">
        <v>1</v>
      </c>
      <c r="D53" t="s">
        <v>38</v>
      </c>
      <c r="E53">
        <v>12</v>
      </c>
      <c r="F53" t="s">
        <v>36</v>
      </c>
      <c r="G53">
        <v>603873</v>
      </c>
      <c r="H53">
        <f>K53+L53</f>
        <v>698143</v>
      </c>
      <c r="I53">
        <f t="shared" si="0"/>
        <v>332453</v>
      </c>
      <c r="J53" s="1">
        <f>1-G53/H53</f>
        <v>0.13502964292415742</v>
      </c>
      <c r="K53">
        <v>426723</v>
      </c>
      <c r="L53">
        <v>271420</v>
      </c>
      <c r="M53" s="1">
        <f t="shared" si="1"/>
        <v>0.55053463228195332</v>
      </c>
      <c r="N53" s="1">
        <f t="shared" si="2"/>
        <v>1.224865522069118</v>
      </c>
    </row>
    <row r="54" spans="1:14" x14ac:dyDescent="0.25">
      <c r="A54" t="s">
        <v>1</v>
      </c>
      <c r="B54" t="s">
        <v>106</v>
      </c>
      <c r="C54">
        <v>2</v>
      </c>
      <c r="D54" t="s">
        <v>38</v>
      </c>
      <c r="E54">
        <v>12</v>
      </c>
      <c r="F54" t="s">
        <v>36</v>
      </c>
      <c r="G54">
        <v>726882</v>
      </c>
      <c r="H54">
        <f>K54+L54</f>
        <v>850080</v>
      </c>
      <c r="I54">
        <f t="shared" si="0"/>
        <v>385928</v>
      </c>
      <c r="J54" s="1">
        <f>1-G54/H54</f>
        <v>0.14492518351214001</v>
      </c>
      <c r="K54">
        <v>509126</v>
      </c>
      <c r="L54">
        <v>340954</v>
      </c>
      <c r="M54" s="1">
        <f t="shared" si="1"/>
        <v>0.53093624549789376</v>
      </c>
      <c r="N54" s="1">
        <f t="shared" si="2"/>
        <v>1.1319063568692551</v>
      </c>
    </row>
    <row r="55" spans="1:14" x14ac:dyDescent="0.25">
      <c r="A55" t="s">
        <v>2</v>
      </c>
      <c r="B55" t="s">
        <v>107</v>
      </c>
      <c r="C55">
        <v>3</v>
      </c>
      <c r="D55" t="s">
        <v>38</v>
      </c>
      <c r="E55">
        <v>12</v>
      </c>
      <c r="F55" t="s">
        <v>36</v>
      </c>
      <c r="G55">
        <v>769064</v>
      </c>
      <c r="H55">
        <f>K55+L55</f>
        <v>896076</v>
      </c>
      <c r="I55">
        <f t="shared" si="0"/>
        <v>447961</v>
      </c>
      <c r="J55" s="1">
        <f>1-G55/H55</f>
        <v>0.14174244148933801</v>
      </c>
      <c r="K55">
        <v>574973</v>
      </c>
      <c r="L55">
        <v>321103</v>
      </c>
      <c r="M55" s="1">
        <f t="shared" si="1"/>
        <v>0.582475580705897</v>
      </c>
      <c r="N55" s="1">
        <f t="shared" si="2"/>
        <v>1.3950694948349907</v>
      </c>
    </row>
  </sheetData>
  <autoFilter ref="A1:N1" xr:uid="{00000000-0001-0000-0000-000000000000}">
    <sortState xmlns:xlrd2="http://schemas.microsoft.com/office/spreadsheetml/2017/richdata2" ref="A2:N55">
      <sortCondition ref="E1"/>
    </sortState>
  </autoFilter>
  <conditionalFormatting sqref="M2:M55 N1:N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{086E3946-6CA7-4B70-A9E9-2FEBB785D267}</x14:id>
        </ext>
      </extLst>
    </cfRule>
  </conditionalFormatting>
  <conditionalFormatting sqref="M2:M5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{FB62A9FB-9EEA-417E-8DFF-F52A9D3D27B8}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E3946-6CA7-4B70-A9E9-2FEBB785D2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M2:M55 N1:N1048576</xm:sqref>
        </x14:conditionalFormatting>
        <x14:conditionalFormatting xmlns:xm="http://schemas.microsoft.com/office/excel/2006/main">
          <x14:cfRule type="dataBar" id="{FB62A9FB-9EEA-417E-8DFF-F52A9D3D27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M2:M55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PK-15.fastq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Kakuk Balázs</cp:lastModifiedBy>
  <dcterms:created xsi:type="dcterms:W3CDTF">2022-09-14T09:46:53Z</dcterms:created>
  <dcterms:modified xsi:type="dcterms:W3CDTF">2022-09-15T08:35:34Z</dcterms:modified>
</cp:coreProperties>
</file>